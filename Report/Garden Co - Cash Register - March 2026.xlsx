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bbi\Documents\Finance\Bookkeeping\Quickbooks\Portfolio\Bank Reconciliation Project\Garden Co\Bank Reconciliation Project\"/>
    </mc:Choice>
  </mc:AlternateContent>
  <xr:revisionPtr revIDLastSave="0" documentId="13_ncr:1_{F7FF11E0-CDF5-428D-8C1C-3C47D9556ACF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hecking Register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2" l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</calcChain>
</file>

<file path=xl/sharedStrings.xml><?xml version="1.0" encoding="utf-8"?>
<sst xmlns="http://schemas.openxmlformats.org/spreadsheetml/2006/main" count="53" uniqueCount="37">
  <si>
    <t>Garden Co.</t>
  </si>
  <si>
    <t>Date</t>
  </si>
  <si>
    <t>Type</t>
  </si>
  <si>
    <t>Payee</t>
  </si>
  <si>
    <t>Memo</t>
  </si>
  <si>
    <t>Debit</t>
  </si>
  <si>
    <t>Credit</t>
  </si>
  <si>
    <t>Running Balance</t>
  </si>
  <si>
    <t>Bank Deposit</t>
  </si>
  <si>
    <t>—</t>
  </si>
  <si>
    <t>Deposit undeposited funds to checking</t>
  </si>
  <si>
    <t>Bill Payment</t>
  </si>
  <si>
    <t>Valley Mulch &amp; Soil Co.</t>
  </si>
  <si>
    <t>Pay bill - check #1013</t>
  </si>
  <si>
    <t>Expense</t>
  </si>
  <si>
    <t>Precision Irrigation Co.</t>
  </si>
  <si>
    <t>Subcontracted irrigation work - check #1014</t>
  </si>
  <si>
    <t>Payroll - D. Ramirez (helper)</t>
  </si>
  <si>
    <t>Part-time wages - check #1015</t>
  </si>
  <si>
    <t>Owner Draw</t>
  </si>
  <si>
    <t>Alex Rivera (Owner)</t>
  </si>
  <si>
    <t>Personal draw - check #1016</t>
  </si>
  <si>
    <t>City Storage Yard LLC</t>
  </si>
  <si>
    <t>Storage yard rent - check #1017</t>
  </si>
  <si>
    <t>City Water &amp; Power</t>
  </si>
  <si>
    <t>Utilities - check #1018</t>
  </si>
  <si>
    <t>Credit Card Payment</t>
  </si>
  <si>
    <t>Business Credit Card</t>
  </si>
  <si>
    <t>Pay CC balance from checking - check #1019</t>
  </si>
  <si>
    <t>First Prairie Bank</t>
  </si>
  <si>
    <t>Monthly bank service charge</t>
  </si>
  <si>
    <t>Balance</t>
  </si>
  <si>
    <t>Balance at beginning</t>
  </si>
  <si>
    <t>03/01/2026</t>
  </si>
  <si>
    <t>$14204,40</t>
  </si>
  <si>
    <t>Checking Account (1000) — Transactions, March 2026</t>
  </si>
  <si>
    <t>Ending Checking Balance (3/31/2026)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</si>
</sst>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\$#,##0.00;&quot;($&quot;#,##0.00\);\-"/>
    <numFmt numFmtId="165" formatCode="mm/dd/yyyy"/>
    <numFmt numFmtId="166" formatCode="_-[$$-409]* #,##0.00_ ;_-[$$-409]* \-#,##0.00\ ;_-[$$-409]* &quot;-&quot;??_ ;_-@_ "/>
  </numFmts>
  <fonts count="9" x14ac:knownFonts="1">
    <font>
      <sz val="11"/>
      <color theme="1"/>
      <name val="Calibri"/>
      <family val="2"/>
      <charset val="1"/>
    </font>
    <font>
      <sz val="10"/>
      <name val="Arial"/>
    </font>
    <font>
      <i/>
      <sz val="11"/>
      <color rgb="FF555555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6"/>
      <color rgb="FF1F4E3D"/>
      <name val="Arial"/>
      <charset val="1"/>
    </font>
    <font>
      <b/>
      <sz val="13"/>
      <color rgb="FF333333"/>
      <name val="Arial"/>
      <charset val="1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C7A4C"/>
        <bgColor rgb="FF2E7D32"/>
      </patternFill>
    </fill>
    <fill>
      <patternFill patternType="solid">
        <fgColor rgb="FFC6E0B4"/>
        <bgColor rgb="FFE2EFDA"/>
      </patternFill>
    </fill>
    <fill>
      <patternFill patternType="solid">
        <fgColor theme="0"/>
        <bgColor rgb="FF2E7D32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808080"/>
      </top>
      <bottom style="double">
        <color rgb="FF808080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4" fontId="3" fillId="3" borderId="2" xfId="0" applyNumberFormat="1" applyFont="1" applyFill="1" applyBorder="1"/>
    <xf numFmtId="165" fontId="7" fillId="0" borderId="1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8" fillId="3" borderId="2" xfId="0" applyFont="1" applyFill="1" applyBorder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4" borderId="1" xfId="0" applyFont="1" applyFill="1" applyBorder="1" applyAlignment="1">
      <alignment horizontal="right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166" fontId="7" fillId="0" borderId="1" xfId="1" applyNumberFormat="1" applyFont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C7A4C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77777"/>
      <rgbColor rgb="FF969696"/>
      <rgbColor rgb="FF1F3864"/>
      <rgbColor rgb="FF2E7D32"/>
      <rgbColor rgb="FF003300"/>
      <rgbColor rgb="FF1F4E3D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tabSelected="1" zoomScaleNormal="100" workbookViewId="0">
      <pane ySplit="5" topLeftCell="A6" activePane="bottomLeft" state="frozen"/>
      <selection pane="bottomLeft" activeCell="H14" sqref="H14"/>
    </sheetView>
  </sheetViews>
  <sheetFormatPr defaultColWidth="8.6640625" defaultRowHeight="14.4" x14ac:dyDescent="0.3"/>
  <cols>
    <col min="1" max="1" width="12" customWidth="1"/>
    <col min="2" max="2" width="20" hidden="1" customWidth="1"/>
    <col min="3" max="3" width="24.6640625" bestFit="1" customWidth="1"/>
    <col min="4" max="4" width="39.44140625" bestFit="1" customWidth="1"/>
    <col min="5" max="6" width="9.109375" bestFit="1" customWidth="1"/>
    <col min="7" max="7" width="15.88671875" bestFit="1" customWidth="1"/>
    <col min="8" max="8" width="13" customWidth="1"/>
  </cols>
  <sheetData>
    <row r="1" spans="1:8" ht="19.5" customHeight="1" x14ac:dyDescent="0.4">
      <c r="A1" s="7" t="s">
        <v>0</v>
      </c>
      <c r="B1" s="7"/>
      <c r="C1" s="7"/>
      <c r="D1" s="7"/>
      <c r="E1" s="7"/>
      <c r="F1" s="7"/>
      <c r="G1" s="7"/>
      <c r="H1" s="7"/>
    </row>
    <row r="2" spans="1:8" ht="15.75" customHeight="1" x14ac:dyDescent="0.3">
      <c r="A2" s="8"/>
      <c r="B2" s="8"/>
      <c r="C2" s="8"/>
      <c r="D2" s="8"/>
      <c r="E2" s="8"/>
      <c r="F2" s="8"/>
      <c r="G2" s="8"/>
      <c r="H2" s="8"/>
    </row>
    <row r="3" spans="1:8" ht="15" customHeight="1" x14ac:dyDescent="0.3">
      <c r="A3" s="9" t="s">
        <v>35</v>
      </c>
      <c r="B3" s="9"/>
      <c r="C3" s="9"/>
      <c r="D3" s="9"/>
      <c r="E3" s="9"/>
      <c r="F3" s="9"/>
      <c r="G3" s="9"/>
      <c r="H3" s="9"/>
    </row>
    <row r="5" spans="1:8" ht="15" customHeight="1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1:8" ht="15" customHeight="1" x14ac:dyDescent="0.3">
      <c r="A6" s="10" t="s">
        <v>33</v>
      </c>
      <c r="B6" s="11" t="s">
        <v>31</v>
      </c>
      <c r="C6" s="12"/>
      <c r="D6" s="11" t="s">
        <v>32</v>
      </c>
      <c r="E6" s="12"/>
      <c r="F6" s="12"/>
      <c r="G6" s="13" t="s">
        <v>34</v>
      </c>
    </row>
    <row r="7" spans="1:8" ht="15" customHeight="1" x14ac:dyDescent="0.3">
      <c r="A7" s="3">
        <v>46085</v>
      </c>
      <c r="B7" s="4" t="s">
        <v>8</v>
      </c>
      <c r="C7" s="4" t="s">
        <v>9</v>
      </c>
      <c r="D7" s="4" t="s">
        <v>10</v>
      </c>
      <c r="E7" s="5">
        <v>340</v>
      </c>
      <c r="F7" s="5"/>
      <c r="G7" s="5">
        <f>14204.4+N(E7)-N(F7)</f>
        <v>14544.4</v>
      </c>
    </row>
    <row r="8" spans="1:8" ht="15" customHeight="1" x14ac:dyDescent="0.3">
      <c r="A8" s="3">
        <v>46091</v>
      </c>
      <c r="B8" s="4" t="s">
        <v>8</v>
      </c>
      <c r="C8" s="4" t="s">
        <v>9</v>
      </c>
      <c r="D8" s="4" t="s">
        <v>10</v>
      </c>
      <c r="E8" s="5">
        <v>1950</v>
      </c>
      <c r="F8" s="5"/>
      <c r="G8" s="5">
        <f t="shared" ref="G8:G19" si="0">G7+N(E8)-N(F8)</f>
        <v>16494.400000000001</v>
      </c>
    </row>
    <row r="9" spans="1:8" ht="15" customHeight="1" x14ac:dyDescent="0.3">
      <c r="A9" s="3">
        <v>46092</v>
      </c>
      <c r="B9" s="4" t="s">
        <v>11</v>
      </c>
      <c r="C9" s="4" t="s">
        <v>12</v>
      </c>
      <c r="D9" s="4" t="s">
        <v>13</v>
      </c>
      <c r="E9" s="5"/>
      <c r="F9" s="5">
        <v>680</v>
      </c>
      <c r="G9" s="5">
        <f t="shared" si="0"/>
        <v>15814.400000000001</v>
      </c>
    </row>
    <row r="10" spans="1:8" ht="15" customHeight="1" x14ac:dyDescent="0.3">
      <c r="A10" s="3">
        <v>46093</v>
      </c>
      <c r="B10" s="4" t="s">
        <v>14</v>
      </c>
      <c r="C10" s="4" t="s">
        <v>15</v>
      </c>
      <c r="D10" s="4" t="s">
        <v>16</v>
      </c>
      <c r="E10" s="5"/>
      <c r="F10" s="5">
        <v>450</v>
      </c>
      <c r="G10" s="5">
        <f t="shared" si="0"/>
        <v>15364.400000000001</v>
      </c>
    </row>
    <row r="11" spans="1:8" ht="15" customHeight="1" x14ac:dyDescent="0.3">
      <c r="A11" s="3">
        <v>46097</v>
      </c>
      <c r="B11" s="4" t="s">
        <v>14</v>
      </c>
      <c r="C11" s="4" t="s">
        <v>17</v>
      </c>
      <c r="D11" s="4" t="s">
        <v>18</v>
      </c>
      <c r="E11" s="5"/>
      <c r="F11" s="5">
        <v>900</v>
      </c>
      <c r="G11" s="5">
        <f t="shared" si="0"/>
        <v>14464.400000000001</v>
      </c>
    </row>
    <row r="12" spans="1:8" ht="15" customHeight="1" x14ac:dyDescent="0.3">
      <c r="A12" s="3">
        <v>46099</v>
      </c>
      <c r="B12" s="4" t="s">
        <v>8</v>
      </c>
      <c r="C12" s="4" t="s">
        <v>9</v>
      </c>
      <c r="D12" s="4" t="s">
        <v>10</v>
      </c>
      <c r="E12" s="5">
        <v>1500</v>
      </c>
      <c r="F12" s="5"/>
      <c r="G12" s="5">
        <f t="shared" si="0"/>
        <v>15964.400000000001</v>
      </c>
    </row>
    <row r="13" spans="1:8" ht="15" customHeight="1" x14ac:dyDescent="0.3">
      <c r="A13" s="3">
        <v>46100</v>
      </c>
      <c r="B13" s="4" t="s">
        <v>19</v>
      </c>
      <c r="C13" s="4" t="s">
        <v>20</v>
      </c>
      <c r="D13" s="4" t="s">
        <v>21</v>
      </c>
      <c r="E13" s="5"/>
      <c r="F13" s="5">
        <v>1500</v>
      </c>
      <c r="G13" s="5">
        <f t="shared" si="0"/>
        <v>14464.400000000001</v>
      </c>
    </row>
    <row r="14" spans="1:8" ht="15" customHeight="1" x14ac:dyDescent="0.3">
      <c r="A14" s="3">
        <v>46101</v>
      </c>
      <c r="B14" s="4" t="s">
        <v>14</v>
      </c>
      <c r="C14" s="4" t="s">
        <v>22</v>
      </c>
      <c r="D14" s="4" t="s">
        <v>23</v>
      </c>
      <c r="E14" s="5"/>
      <c r="F14" s="5">
        <v>600</v>
      </c>
      <c r="G14" s="5">
        <f t="shared" si="0"/>
        <v>13864.400000000001</v>
      </c>
    </row>
    <row r="15" spans="1:8" ht="15" customHeight="1" x14ac:dyDescent="0.3">
      <c r="A15" s="3">
        <v>46102</v>
      </c>
      <c r="B15" s="4" t="s">
        <v>14</v>
      </c>
      <c r="C15" s="4" t="s">
        <v>24</v>
      </c>
      <c r="D15" s="4" t="s">
        <v>25</v>
      </c>
      <c r="E15" s="5"/>
      <c r="F15" s="5">
        <v>50</v>
      </c>
      <c r="G15" s="5">
        <f t="shared" si="0"/>
        <v>13814.400000000001</v>
      </c>
    </row>
    <row r="16" spans="1:8" ht="15" customHeight="1" x14ac:dyDescent="0.3">
      <c r="A16" s="3">
        <v>46103</v>
      </c>
      <c r="B16" s="4" t="s">
        <v>26</v>
      </c>
      <c r="C16" s="4" t="s">
        <v>27</v>
      </c>
      <c r="D16" s="4" t="s">
        <v>28</v>
      </c>
      <c r="E16" s="5"/>
      <c r="F16" s="5">
        <v>500</v>
      </c>
      <c r="G16" s="5">
        <f t="shared" si="0"/>
        <v>13314.400000000001</v>
      </c>
    </row>
    <row r="17" spans="1:7" ht="15" customHeight="1" x14ac:dyDescent="0.3">
      <c r="A17" s="3">
        <v>46108</v>
      </c>
      <c r="B17" s="4" t="s">
        <v>8</v>
      </c>
      <c r="C17" s="4" t="s">
        <v>9</v>
      </c>
      <c r="D17" s="4" t="s">
        <v>10</v>
      </c>
      <c r="E17" s="5">
        <v>950</v>
      </c>
      <c r="F17" s="5"/>
      <c r="G17" s="5">
        <f t="shared" si="0"/>
        <v>14264.400000000001</v>
      </c>
    </row>
    <row r="18" spans="1:7" ht="15" customHeight="1" x14ac:dyDescent="0.3">
      <c r="A18" s="3">
        <v>46109</v>
      </c>
      <c r="B18" s="4" t="s">
        <v>14</v>
      </c>
      <c r="C18" s="4" t="s">
        <v>29</v>
      </c>
      <c r="D18" s="4" t="s">
        <v>30</v>
      </c>
      <c r="E18" s="5"/>
      <c r="F18" s="5">
        <v>15</v>
      </c>
      <c r="G18" s="5">
        <f t="shared" si="0"/>
        <v>14249.400000000001</v>
      </c>
    </row>
    <row r="19" spans="1:7" ht="15" customHeight="1" x14ac:dyDescent="0.3">
      <c r="A19" s="3">
        <v>46112</v>
      </c>
      <c r="B19" s="4" t="s">
        <v>8</v>
      </c>
      <c r="C19" s="4" t="s">
        <v>9</v>
      </c>
      <c r="D19" s="4" t="s">
        <v>10</v>
      </c>
      <c r="E19" s="5">
        <v>900</v>
      </c>
      <c r="F19" s="5"/>
      <c r="G19" s="5">
        <f t="shared" si="0"/>
        <v>15149.400000000001</v>
      </c>
    </row>
    <row r="20" spans="1:7" ht="15" customHeight="1" x14ac:dyDescent="0.3">
      <c r="D20" s="6" t="s">
        <v>36</v>
      </c>
      <c r="G20" s="2">
        <f>G19</f>
        <v>15149.400000000001</v>
      </c>
    </row>
  </sheetData>
  <mergeCells count="3">
    <mergeCell ref="A1:H1"/>
    <mergeCell ref="A2:H2"/>
    <mergeCell ref="A3:H3"/>
  </mergeCells>
  <pageMargins left="0.75" right="0.75" top="1" bottom="1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Checking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MOBI_X1 Toronto</cp:lastModifiedBy>
  <cp:revision>0</cp:revision>
  <cp:lastPrinted>2026-08-31T17:51:14Z</cp:lastPrinted>
  <dcterms:created xsi:type="dcterms:W3CDTF">2026-08-18T10:14:48Z</dcterms:created>
  <dcterms:modified xsi:type="dcterms:W3CDTF">2026-08-31T17:51:36Z</dcterms:modified>
  <dc:language>en-US</dc:language>
</cp:coreProperties>
</file>